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nxmail-my.sharepoint.com/personal/jimin_lee1_concentrix_com/Documents/바탕 화면/과제/RAG/outputs/evaluation_20261014/"/>
    </mc:Choice>
  </mc:AlternateContent>
  <xr:revisionPtr revIDLastSave="2" documentId="11_C099AF2C29034FFAC6C83517321884E4011CAA97" xr6:coauthVersionLast="47" xr6:coauthVersionMax="47" xr10:uidLastSave="{F8328CA4-E92C-42D5-9D60-31756CE800DF}"/>
  <bookViews>
    <workbookView xWindow="28680" yWindow="-120" windowWidth="29040" windowHeight="15720" xr2:uid="{00000000-000D-0000-FFFF-FFFF00000000}"/>
  </bookViews>
  <sheets>
    <sheet name="1_Paddle 문서 분석" sheetId="1" r:id="rId1"/>
    <sheet name="2_RAG 성능 평가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H4" i="2" s="1"/>
  <c r="B4" i="2"/>
  <c r="G4" i="1"/>
  <c r="E4" i="1"/>
  <c r="B4" i="1"/>
</calcChain>
</file>

<file path=xl/sharedStrings.xml><?xml version="1.0" encoding="utf-8"?>
<sst xmlns="http://schemas.openxmlformats.org/spreadsheetml/2006/main" count="186" uniqueCount="129">
  <si>
    <t>Paddle 문서 분석 비교</t>
  </si>
  <si>
    <t>출처: B2B Dashboard Manual_v3.pdf의 각 행 페이지. 원본 PDF와 보정 전 Markdown을 대조하고 필요하면 JSON을 확인.</t>
  </si>
  <si>
    <t>검수 항목</t>
  </si>
  <si>
    <t>Structure 평가 완료</t>
  </si>
  <si>
    <t>VL 평가 완료</t>
  </si>
  <si>
    <t>Structure 구성</t>
  </si>
  <si>
    <t>GPU 후보 / 실행 전</t>
  </si>
  <si>
    <t>VL 구성: PaddleOCR-VL-1.6 / 실행 전</t>
  </si>
  <si>
    <t>비교 조건: 동일 PDF·입력 폭 2,000·수동 보정 없음. 실행한 모델 구성과 날짜를 기록. Qwen·청킹 결과는 이 시트에서 평가하지 않음.</t>
  </si>
  <si>
    <t>판정: 통과=기대 내용·연결 정확 / 부분 오류=일부 누락·형식 오류 / 실패=핵심 누락·오인식·잘못 연결 / 미평가=아직 검수하지 않음.</t>
  </si>
  <si>
    <t>노란 셀에 관찰 결과 입력. 오류는 문장·좌표·표 항목 등 실제 위치와 함께 기록. 글자 수·청크 수를 정확도로 해석하지 않음.</t>
  </si>
  <si>
    <t>실행일</t>
  </si>
  <si>
    <t>미기록</t>
  </si>
  <si>
    <t>ID</t>
  </si>
  <si>
    <t>페이지</t>
  </si>
  <si>
    <t>원본에서 기대하는 결과</t>
  </si>
  <si>
    <t>판단 근거·이유</t>
  </si>
  <si>
    <t>Structure 실제 분석 결과</t>
  </si>
  <si>
    <t>Structure 판정</t>
  </si>
  <si>
    <t>VL 실제 분석 결과</t>
  </si>
  <si>
    <t>VL 판정</t>
  </si>
  <si>
    <t>차이·오류 메모</t>
  </si>
  <si>
    <t>P01</t>
  </si>
  <si>
    <t>기능 제목 분리</t>
  </si>
  <si>
    <t>1 Question Input, 2 Category Selection, 3 Suggested Questions가 각각의 제목으로 구분된다.</t>
  </si>
  <si>
    <t>번호·제목이 본문에 붙는지 확인한다.</t>
  </si>
  <si>
    <t>미평가</t>
  </si>
  <si>
    <t>P02</t>
  </si>
  <si>
    <t>제목과 설명 연결</t>
  </si>
  <si>
    <t>Suggested Questions에 부서별 자주 사용하는 질문을 본다는 설명이 연결된다.</t>
  </si>
  <si>
    <t>문장이 추출돼도 다른 기능에 연결되면 검색 문맥이 잘못된다.</t>
  </si>
  <si>
    <t>P03</t>
  </si>
  <si>
    <t>설명 문장 누락</t>
  </si>
  <si>
    <t>Page Type의 CAT/PLP 또는 PDP 선택 설명이 제목 아래 남는다.</t>
  </si>
  <si>
    <t>제목만 남고 화면 사용 설명이 누락되는지 확인한다.</t>
  </si>
  <si>
    <t>P04</t>
  </si>
  <si>
    <t>버튼명 인식</t>
  </si>
  <si>
    <t>Issue Filter 설명에서 Clear filter 버튼명과 필터 초기화 의미가 유지된다.</t>
  </si>
  <si>
    <t>버튼명·동작이 정확해야 사용 방법을 안내할 수 있다.</t>
  </si>
  <si>
    <t>P05</t>
  </si>
  <si>
    <t>번호와 읽기 순서</t>
  </si>
  <si>
    <t>1 Business Unit and Country, 2 Issue Filter, 3 Page Details의 제목·번호·설명 순서가 유지된다.</t>
  </si>
  <si>
    <t>떨어진 번호와 제목을 올바르게 연결하는지 확인한다.</t>
  </si>
  <si>
    <t>P06</t>
  </si>
  <si>
    <t>Page Type 제목과 페이지 유형을 선택하는 설명이 같은 항목으로 묶인다.</t>
  </si>
  <si>
    <t>여러 영역의 설명이 섞이거나 제목만 남는지 확인한다.</t>
  </si>
  <si>
    <t>P07</t>
  </si>
  <si>
    <t>강조 문장 추출</t>
  </si>
  <si>
    <t>Download 설명에서 선택한 DICT 데이터를 CSV로 내보내는 내용이 유지된다.</t>
  </si>
  <si>
    <t>강조된 문장과 기능 설명이 누락되는지 확인한다.</t>
  </si>
  <si>
    <t>P08</t>
  </si>
  <si>
    <t>표 항목·값 연결</t>
  </si>
  <si>
    <t>Title Length 행의 PDP 열 값이 20pt로 연결된다.</t>
  </si>
  <si>
    <t>숫자 인식뿐 아니라 항목·열과의 대응을 확인한다.</t>
  </si>
  <si>
    <t>P09</t>
  </si>
  <si>
    <t>표 기호 보존</t>
  </si>
  <si>
    <t>H1 Tag 행의 M이 숫자 배점으로 바뀌지 않고 올바른 열에 유지된다.</t>
  </si>
  <si>
    <t>기호의 누락·오인식이 배점 해석을 바꿀 수 있다.</t>
  </si>
  <si>
    <t>P10</t>
  </si>
  <si>
    <t>표 헤더·행 구조</t>
  </si>
  <si>
    <t>Monitoring Item, Check Description, CAT/PLP, PDP, Insights, Industries, Support의 열 구분과 각 행 값이 유지된다.</t>
  </si>
  <si>
    <t>여러 열의 값이 밀리거나 합쳐지는지 표 전체 구조를 확인한다.</t>
  </si>
  <si>
    <t>RAG 검색·답변 성능 평가</t>
  </si>
  <si>
    <t>기대 답변 출처: B2B Dashboard Manual_v3.pdf의 각 행 페이지 / tests/README.md의 고정 질문 10개.</t>
  </si>
  <si>
    <t>질문 수</t>
  </si>
  <si>
    <t>답변 평가 완료</t>
  </si>
  <si>
    <t>답변 통과율</t>
  </si>
  <si>
    <t>평가 구성: 운영 코퍼스 73개(원본 대조 보정 포함) / BGE-M3 / FAISS / top-k=3 / Qwen3 4B / 현재 프롬프트.</t>
  </si>
  <si>
    <t>목적: 현재 RAG 전체의 검색·답변 품질 평가. Paddle 모델별 답변 비교가 아님. 실제 검색 근거와 답변을 실행 후 기록.</t>
  </si>
  <si>
    <t>답변 판정: 통과=필수 답변·출처 정확 / 부분 오류=일부 요점·출처 누락 / 실패=핵심 오답·근거 없는 내용 / 미평가=아직 평가 전.</t>
  </si>
  <si>
    <t>근거 확보는 필요한 본문까지 확인. 실패 단계는 원본 정보 없음·분석·청킹·검색·답변·입력 길이·기타로 구분. 통과율은 평가 완료한 질문 중 완전 통과 비율.</t>
  </si>
  <si>
    <t>예상 질문</t>
  </si>
  <si>
    <t>선정 이유</t>
  </si>
  <si>
    <t>기대 답변·필수 요점</t>
  </si>
  <si>
    <t>필요한 페이지</t>
  </si>
  <si>
    <t>검색된 페이지</t>
  </si>
  <si>
    <t>근거 확보</t>
  </si>
  <si>
    <t>실제 Qwen 답변</t>
  </si>
  <si>
    <t>답변 판정</t>
  </si>
  <si>
    <t>실패 단계</t>
  </si>
  <si>
    <t>전체 응답 시간(초)</t>
  </si>
  <si>
    <t>판단 근거·메모</t>
  </si>
  <si>
    <t>Q1</t>
  </si>
  <si>
    <t>AX Agent에서 개선 가이드를 보려면 어떤 카테고리를 선택해야 하나요?</t>
  </si>
  <si>
    <t>메뉴 선택: 개선 가이드 목적과 How to Fix를 연결하는지 확인.</t>
  </si>
  <si>
    <t>How to Fix</t>
  </si>
  <si>
    <t>9</t>
  </si>
  <si>
    <t>Q2</t>
  </si>
  <si>
    <t>AX Agent에서 부서별로 자주 사용하는 질문은 어디에서 볼 수 있나요?</t>
  </si>
  <si>
    <t>기능 위치: 부서별 추천 질문과 Suggested Questions를 연결하는지 확인.</t>
  </si>
  <si>
    <t>Suggested Questions</t>
  </si>
  <si>
    <t>Q3</t>
  </si>
  <si>
    <t>Spec Monitoring에서 이슈 필터를 초기화하려면 어떻게 하나요?</t>
  </si>
  <si>
    <t>버튼 동작: Clear filter를 이용한 초기화 안내를 확인.</t>
  </si>
  <si>
    <t>Clear filter 클릭</t>
  </si>
  <si>
    <t>20</t>
  </si>
  <si>
    <t>Q4</t>
  </si>
  <si>
    <t>Spec Monitoring에서 기준 스펙과 수집된 스펙 값을 비교하려면 어떻게 하나요?</t>
  </si>
  <si>
    <t>한·영 표현: 한국어 질문이 reference specification·Detail 설명을 찾는지 확인.</t>
  </si>
  <si>
    <t>목록에서 페이지·모델을 찾고 Detail 클릭</t>
  </si>
  <si>
    <t>Q5</t>
  </si>
  <si>
    <t>모니터링 항목별 상세 조건과 점수는 대시보드 어디에서 어떻게 확인하나요?</t>
  </si>
  <si>
    <t>탐색 절차: 메뉴 경로와 상세 펼치기 동작을 함께 안내하는지 확인.</t>
  </si>
  <si>
    <t>REFERENCE &gt; Monitoring Item &gt; Business 또는 Shared, 항목 화살표로 상세 조건·점수 펼치기</t>
  </si>
  <si>
    <t>22</t>
  </si>
  <si>
    <t>Q6</t>
  </si>
  <si>
    <t>REFERENCE의 DICT 데이터를 CSV 파일로 내려받으려면 어떻게 하나요?</t>
  </si>
  <si>
    <t>내보내기: DICT 데이터와 Download·CSV 동작의 연결을 확인.</t>
  </si>
  <si>
    <t>Download로 선택 데이터 CSV 내보내기</t>
  </si>
  <si>
    <t>23</t>
  </si>
  <si>
    <t>Q7</t>
  </si>
  <si>
    <t>Only Monitoring 항목도 총점 계산에 포함되나요?</t>
  </si>
  <si>
    <t>배점 규칙: Only Monitoring과 총점 포함 여부를 구분하는지 확인.</t>
  </si>
  <si>
    <t>상태·이슈 확인용이며 총점 제외</t>
  </si>
  <si>
    <t>35</t>
  </si>
  <si>
    <t>Q8</t>
  </si>
  <si>
    <t>SEO 모니터링에서 PDP의 Title Length 최대 배점은 몇 점인가요?</t>
  </si>
  <si>
    <t>표의 숫자: Title Length·PDP·20pt의 대응을 확인.</t>
  </si>
  <si>
    <t>20pt</t>
  </si>
  <si>
    <t>37</t>
  </si>
  <si>
    <t>Q9</t>
  </si>
  <si>
    <t>SEO 모니터링에서 H1 Tag는 점수를 받는 항목인가요?</t>
  </si>
  <si>
    <t>표의 기호: M을 배점이 아닌 모니터링 전용으로 해석하는지 확인.</t>
  </si>
  <si>
    <t>M: Monitoring only, 점수 미반영</t>
  </si>
  <si>
    <t>Q10</t>
  </si>
  <si>
    <t>모니터링 항목의 상세 조건을 여는 방법과 SEO PDP Title Length의 최대 배점을 함께 알려주세요.</t>
  </si>
  <si>
    <t>다중 근거: 22·37페이지의 서로 다른 정보를 한 답변으로 조합하는지 확인.</t>
  </si>
  <si>
    <t>상세 펼치기 방법과 20pt를 모두 설명</t>
  </si>
  <si>
    <t>22, 37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</si>
</sst>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9">
    <font>
      <sz val="11"/>
      <name val="Carlito"/>
    </font>
    <font>
      <sz val="11"/>
      <color rgb="FF243746"/>
      <name val="Malgun Gothic"/>
      <family val="3"/>
      <charset val="129"/>
    </font>
    <font>
      <b/>
      <sz val="16"/>
      <color rgb="FF243B53"/>
      <name val="Malgun Gothic"/>
      <family val="3"/>
      <charset val="129"/>
    </font>
    <font>
      <sz val="10"/>
      <color rgb="FF66788A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0"/>
      <color rgb="FF66788A"/>
      <name val="Malgun Gothic"/>
      <family val="3"/>
      <charset val="129"/>
    </font>
    <font>
      <b/>
      <sz val="11"/>
      <color rgb="FF243746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5DB"/>
      </patternFill>
    </fill>
    <fill>
      <patternFill patternType="solid">
        <fgColor rgb="FF243B53"/>
      </patternFill>
    </fill>
    <fill>
      <patternFill patternType="solid">
        <fgColor rgb="FFFFFFFF"/>
      </patternFill>
    </fill>
    <fill>
      <patternFill patternType="solid">
        <fgColor rgb="FFF6F8FB"/>
      </patternFill>
    </fill>
  </fills>
  <borders count="5">
    <border>
      <left/>
      <right/>
      <top/>
      <bottom/>
      <diagonal/>
    </border>
    <border>
      <left/>
      <right/>
      <top/>
      <bottom style="thin">
        <color rgb="FF243B53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1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2" borderId="0" xfId="1" applyFont="1" applyFill="1" applyAlignment="1">
      <alignment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" fillId="4" borderId="0" xfId="1" applyFont="1" applyFill="1" applyAlignment="1">
      <alignment vertical="top" wrapText="1"/>
    </xf>
    <xf numFmtId="0" fontId="1" fillId="5" borderId="0" xfId="1" applyFont="1" applyFill="1" applyAlignment="1">
      <alignment vertical="top" wrapText="1"/>
    </xf>
    <xf numFmtId="0" fontId="1" fillId="2" borderId="0" xfId="1" applyFont="1" applyFill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1" fontId="1" fillId="5" borderId="0" xfId="1" applyNumberFormat="1" applyFont="1" applyFill="1" applyAlignment="1">
      <alignment vertical="top" wrapText="1"/>
    </xf>
    <xf numFmtId="1" fontId="1" fillId="4" borderId="0" xfId="1" applyNumberFormat="1" applyFont="1" applyFill="1" applyAlignment="1">
      <alignment vertical="top" wrapText="1"/>
    </xf>
    <xf numFmtId="176" fontId="3" fillId="0" borderId="0" xfId="1" applyNumberFormat="1" applyFont="1" applyAlignment="1">
      <alignment vertical="center"/>
    </xf>
    <xf numFmtId="177" fontId="1" fillId="2" borderId="0" xfId="1" applyNumberFormat="1" applyFont="1" applyFill="1" applyAlignment="1">
      <alignment vertical="top" wrapText="1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12">
    <dxf>
      <font>
        <color rgb="FF66788A"/>
      </font>
      <fill>
        <patternFill patternType="solid">
          <bgColor rgb="FFF1F4F7"/>
        </patternFill>
      </fill>
    </dxf>
    <dxf>
      <font>
        <color rgb="FF8A4B00"/>
      </font>
      <fill>
        <patternFill patternType="solid">
          <bgColor rgb="FFFFE4B5"/>
        </patternFill>
      </fill>
    </dxf>
    <dxf>
      <font>
        <b/>
        <color rgb="FFA12622"/>
      </font>
      <fill>
        <patternFill patternType="solid">
          <bgColor rgb="FFFCE8E6"/>
        </patternFill>
      </fill>
    </dxf>
    <dxf>
      <font>
        <color rgb="FF66788A"/>
      </font>
      <fill>
        <patternFill patternType="solid">
          <bgColor rgb="FFF1F4F7"/>
        </patternFill>
      </fill>
    </dxf>
    <dxf>
      <font>
        <color rgb="FF8A4B00"/>
      </font>
      <fill>
        <patternFill patternType="solid">
          <bgColor rgb="FFFFE4B5"/>
        </patternFill>
      </fill>
    </dxf>
    <dxf>
      <font>
        <b/>
        <color rgb="FFA12622"/>
      </font>
      <fill>
        <patternFill patternType="solid">
          <bgColor rgb="FFFCE8E6"/>
        </patternFill>
      </fill>
    </dxf>
    <dxf>
      <font>
        <color rgb="FF66788A"/>
      </font>
      <fill>
        <patternFill patternType="solid">
          <bgColor rgb="FFF1F4F7"/>
        </patternFill>
      </fill>
    </dxf>
    <dxf>
      <font>
        <color rgb="FF8A4B00"/>
      </font>
      <fill>
        <patternFill patternType="solid">
          <bgColor rgb="FFFFE4B5"/>
        </patternFill>
      </fill>
    </dxf>
    <dxf>
      <font>
        <b/>
        <color rgb="FFA12622"/>
      </font>
      <fill>
        <patternFill patternType="solid">
          <bgColor rgb="FFFCE8E6"/>
        </patternFill>
      </fill>
    </dxf>
    <dxf>
      <font>
        <color rgb="FF66788A"/>
      </font>
      <fill>
        <patternFill patternType="solid">
          <bgColor rgb="FFF1F4F7"/>
        </patternFill>
      </fill>
    </dxf>
    <dxf>
      <font>
        <color rgb="FF8A4B00"/>
      </font>
      <fill>
        <patternFill patternType="solid">
          <bgColor rgb="FFFFE4B5"/>
        </patternFill>
      </fill>
    </dxf>
    <dxf>
      <font>
        <b/>
        <color rgb="FFA12622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ddleReview" displayName="PaddleReview" ref="A10:J20" totalsRowShown="0">
  <autoFilter ref="A10:J20" xr:uid="{00000000-0009-0000-0100-000001000000}"/>
  <tableColumns count="10">
    <tableColumn id="1" xr3:uid="{00000000-0010-0000-0000-000001000000}" name="ID"/>
    <tableColumn id="2" xr3:uid="{00000000-0010-0000-0000-000002000000}" name="페이지"/>
    <tableColumn id="3" xr3:uid="{00000000-0010-0000-0000-000003000000}" name="검수 항목"/>
    <tableColumn id="4" xr3:uid="{00000000-0010-0000-0000-000004000000}" name="원본에서 기대하는 결과"/>
    <tableColumn id="5" xr3:uid="{00000000-0010-0000-0000-000005000000}" name="판단 근거·이유"/>
    <tableColumn id="6" xr3:uid="{00000000-0010-0000-0000-000006000000}" name="Structure 실제 분석 결과"/>
    <tableColumn id="7" xr3:uid="{00000000-0010-0000-0000-000007000000}" name="Structure 판정"/>
    <tableColumn id="8" xr3:uid="{00000000-0010-0000-0000-000008000000}" name="VL 실제 분석 결과"/>
    <tableColumn id="9" xr3:uid="{00000000-0010-0000-0000-000009000000}" name="VL 판정"/>
    <tableColumn id="10" xr3:uid="{00000000-0010-0000-0000-00000A000000}" name="차이·오류 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gReview" displayName="RagReview" ref="A10:L20" totalsRowShown="0">
  <autoFilter ref="A10:L20" xr:uid="{00000000-0009-0000-0100-000002000000}"/>
  <tableColumns count="12">
    <tableColumn id="1" xr3:uid="{00000000-0010-0000-0100-000001000000}" name="ID"/>
    <tableColumn id="2" xr3:uid="{00000000-0010-0000-0100-000002000000}" name="예상 질문"/>
    <tableColumn id="3" xr3:uid="{00000000-0010-0000-0100-000003000000}" name="선정 이유"/>
    <tableColumn id="4" xr3:uid="{00000000-0010-0000-0100-000004000000}" name="기대 답변·필수 요점"/>
    <tableColumn id="5" xr3:uid="{00000000-0010-0000-0100-000005000000}" name="필요한 페이지"/>
    <tableColumn id="6" xr3:uid="{00000000-0010-0000-0100-000006000000}" name="검색된 페이지"/>
    <tableColumn id="7" xr3:uid="{00000000-0010-0000-0100-000007000000}" name="근거 확보"/>
    <tableColumn id="8" xr3:uid="{00000000-0010-0000-0100-000008000000}" name="실제 Qwen 답변"/>
    <tableColumn id="9" xr3:uid="{00000000-0010-0000-0100-000009000000}" name="답변 판정"/>
    <tableColumn id="10" xr3:uid="{00000000-0010-0000-0100-00000A000000}" name="실패 단계"/>
    <tableColumn id="11" xr3:uid="{00000000-0010-0000-0100-00000B000000}" name="전체 응답 시간(초)"/>
    <tableColumn id="12" xr3:uid="{00000000-0010-0000-0100-00000C000000}" name="판단 근거·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53"/>
  </sheetPr>
  <dimension ref="A1:J20"/>
  <sheetViews>
    <sheetView showGridLines="0" tabSelected="1" workbookViewId="0">
      <pane ySplit="10" topLeftCell="A11" activePane="bottomLeft" state="frozen"/>
      <selection pane="bottomLeft" activeCell="B1" sqref="B1:B6"/>
    </sheetView>
  </sheetViews>
  <sheetFormatPr defaultRowHeight="13.8"/>
  <cols>
    <col min="1" max="2" width="8" customWidth="1"/>
    <col min="3" max="3" width="23" customWidth="1"/>
    <col min="4" max="4" width="53" customWidth="1"/>
    <col min="5" max="5" width="36" customWidth="1"/>
    <col min="6" max="6" width="46" customWidth="1"/>
    <col min="7" max="7" width="15" customWidth="1"/>
    <col min="8" max="8" width="46" customWidth="1"/>
    <col min="9" max="9" width="15" customWidth="1"/>
    <col min="10" max="10" width="40" customWidth="1"/>
  </cols>
  <sheetData>
    <row r="1" spans="1:10" ht="22.9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1.9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25.95" customHeight="1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ht="22.95" customHeight="1">
      <c r="A4" s="17" t="s">
        <v>2</v>
      </c>
      <c r="B4" s="18">
        <f>COUNTA(A11:A20)</f>
        <v>10</v>
      </c>
      <c r="C4" s="4"/>
      <c r="D4" s="4" t="s">
        <v>3</v>
      </c>
      <c r="E4" s="4">
        <f>SUM(COUNTIFS(G11:G20,"통과"),COUNTIFS(G11:G20,"부분 오류"),COUNTIFS(G11:G20,"실패"))</f>
        <v>0</v>
      </c>
      <c r="F4" s="4" t="s">
        <v>4</v>
      </c>
      <c r="G4" s="4">
        <f>SUM(COUNTIFS(I11:I20,"통과"),COUNTIFS(I11:I20,"부분 오류"),COUNTIFS(I11:I20,"실패"))</f>
        <v>0</v>
      </c>
      <c r="H4" s="4"/>
      <c r="I4" s="4"/>
      <c r="J4" s="4"/>
    </row>
    <row r="5" spans="1:10" ht="22.95" customHeight="1">
      <c r="A5" s="4" t="s">
        <v>5</v>
      </c>
      <c r="B5" s="4"/>
      <c r="C5" s="5" t="s">
        <v>6</v>
      </c>
      <c r="D5" s="4"/>
      <c r="E5" s="4"/>
      <c r="F5" s="4" t="s">
        <v>7</v>
      </c>
      <c r="G5" s="4"/>
      <c r="H5" s="4"/>
      <c r="I5" s="4"/>
      <c r="J5" s="4"/>
    </row>
    <row r="6" spans="1:10" ht="22.95" customHeight="1">
      <c r="A6" s="4" t="s">
        <v>8</v>
      </c>
      <c r="B6" s="4"/>
      <c r="C6" s="4"/>
      <c r="D6" s="4"/>
      <c r="E6" s="4"/>
      <c r="F6" s="4"/>
      <c r="G6" s="4"/>
      <c r="H6" s="4"/>
      <c r="I6" s="4"/>
      <c r="J6" s="4"/>
    </row>
    <row r="7" spans="1:10" ht="22.95" customHeight="1">
      <c r="A7" s="4" t="s">
        <v>9</v>
      </c>
      <c r="B7" s="4"/>
      <c r="C7" s="4"/>
      <c r="D7" s="4"/>
      <c r="E7" s="4"/>
      <c r="F7" s="4"/>
      <c r="G7" s="4"/>
      <c r="H7" s="4"/>
      <c r="I7" s="4"/>
      <c r="J7" s="4"/>
    </row>
    <row r="8" spans="1:10" ht="22.95" customHeight="1">
      <c r="A8" s="4" t="s">
        <v>10</v>
      </c>
      <c r="B8" s="4"/>
      <c r="C8" s="4"/>
      <c r="D8" s="4"/>
      <c r="E8" s="4"/>
      <c r="F8" s="4"/>
      <c r="G8" s="4"/>
      <c r="H8" s="4"/>
      <c r="I8" s="4"/>
      <c r="J8" s="4"/>
    </row>
    <row r="9" spans="1:10" ht="22.95" customHeight="1">
      <c r="A9" s="4" t="s">
        <v>11</v>
      </c>
      <c r="B9" s="4"/>
      <c r="C9" s="5" t="s">
        <v>12</v>
      </c>
      <c r="D9" s="4"/>
      <c r="E9" s="4"/>
      <c r="F9" s="4"/>
      <c r="G9" s="4"/>
      <c r="H9" s="4"/>
      <c r="I9" s="4"/>
      <c r="J9" s="4"/>
    </row>
    <row r="10" spans="1:10" ht="37.950000000000003" customHeight="1">
      <c r="A10" s="6" t="s">
        <v>13</v>
      </c>
      <c r="B10" s="7" t="s">
        <v>14</v>
      </c>
      <c r="C10" s="7" t="s">
        <v>2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  <c r="I10" s="7" t="s">
        <v>20</v>
      </c>
      <c r="J10" s="8" t="s">
        <v>21</v>
      </c>
    </row>
    <row r="11" spans="1:10" ht="66" customHeight="1">
      <c r="A11" s="10" t="s">
        <v>22</v>
      </c>
      <c r="B11" s="13">
        <v>9</v>
      </c>
      <c r="C11" s="10" t="s">
        <v>23</v>
      </c>
      <c r="D11" s="10" t="s">
        <v>24</v>
      </c>
      <c r="E11" s="10" t="s">
        <v>25</v>
      </c>
      <c r="F11" s="11"/>
      <c r="G11" s="12" t="s">
        <v>26</v>
      </c>
      <c r="H11" s="11"/>
      <c r="I11" s="12" t="s">
        <v>26</v>
      </c>
      <c r="J11" s="11"/>
    </row>
    <row r="12" spans="1:10" ht="66" customHeight="1">
      <c r="A12" s="9" t="s">
        <v>27</v>
      </c>
      <c r="B12" s="14">
        <v>9</v>
      </c>
      <c r="C12" s="9" t="s">
        <v>28</v>
      </c>
      <c r="D12" s="9" t="s">
        <v>29</v>
      </c>
      <c r="E12" s="9" t="s">
        <v>30</v>
      </c>
      <c r="F12" s="11"/>
      <c r="G12" s="12" t="s">
        <v>26</v>
      </c>
      <c r="H12" s="11"/>
      <c r="I12" s="12" t="s">
        <v>26</v>
      </c>
      <c r="J12" s="11"/>
    </row>
    <row r="13" spans="1:10" ht="66" customHeight="1">
      <c r="A13" s="10" t="s">
        <v>31</v>
      </c>
      <c r="B13" s="13">
        <v>11</v>
      </c>
      <c r="C13" s="10" t="s">
        <v>32</v>
      </c>
      <c r="D13" s="10" t="s">
        <v>33</v>
      </c>
      <c r="E13" s="10" t="s">
        <v>34</v>
      </c>
      <c r="F13" s="11"/>
      <c r="G13" s="12" t="s">
        <v>26</v>
      </c>
      <c r="H13" s="11"/>
      <c r="I13" s="12" t="s">
        <v>26</v>
      </c>
      <c r="J13" s="11"/>
    </row>
    <row r="14" spans="1:10" ht="66" customHeight="1">
      <c r="A14" s="9" t="s">
        <v>35</v>
      </c>
      <c r="B14" s="14">
        <v>20</v>
      </c>
      <c r="C14" s="9" t="s">
        <v>36</v>
      </c>
      <c r="D14" s="9" t="s">
        <v>37</v>
      </c>
      <c r="E14" s="9" t="s">
        <v>38</v>
      </c>
      <c r="F14" s="11"/>
      <c r="G14" s="12" t="s">
        <v>26</v>
      </c>
      <c r="H14" s="11"/>
      <c r="I14" s="12" t="s">
        <v>26</v>
      </c>
      <c r="J14" s="11"/>
    </row>
    <row r="15" spans="1:10" ht="66" customHeight="1">
      <c r="A15" s="10" t="s">
        <v>39</v>
      </c>
      <c r="B15" s="13">
        <v>20</v>
      </c>
      <c r="C15" s="10" t="s">
        <v>40</v>
      </c>
      <c r="D15" s="10" t="s">
        <v>41</v>
      </c>
      <c r="E15" s="10" t="s">
        <v>42</v>
      </c>
      <c r="F15" s="11"/>
      <c r="G15" s="12" t="s">
        <v>26</v>
      </c>
      <c r="H15" s="11"/>
      <c r="I15" s="12" t="s">
        <v>26</v>
      </c>
      <c r="J15" s="11"/>
    </row>
    <row r="16" spans="1:10" ht="66" customHeight="1">
      <c r="A16" s="9" t="s">
        <v>43</v>
      </c>
      <c r="B16" s="14">
        <v>22</v>
      </c>
      <c r="C16" s="9" t="s">
        <v>28</v>
      </c>
      <c r="D16" s="9" t="s">
        <v>44</v>
      </c>
      <c r="E16" s="9" t="s">
        <v>45</v>
      </c>
      <c r="F16" s="11"/>
      <c r="G16" s="12" t="s">
        <v>26</v>
      </c>
      <c r="H16" s="11"/>
      <c r="I16" s="12" t="s">
        <v>26</v>
      </c>
      <c r="J16" s="11"/>
    </row>
    <row r="17" spans="1:10" ht="66" customHeight="1">
      <c r="A17" s="10" t="s">
        <v>46</v>
      </c>
      <c r="B17" s="13">
        <v>23</v>
      </c>
      <c r="C17" s="10" t="s">
        <v>47</v>
      </c>
      <c r="D17" s="10" t="s">
        <v>48</v>
      </c>
      <c r="E17" s="10" t="s">
        <v>49</v>
      </c>
      <c r="F17" s="11"/>
      <c r="G17" s="12" t="s">
        <v>26</v>
      </c>
      <c r="H17" s="11"/>
      <c r="I17" s="12" t="s">
        <v>26</v>
      </c>
      <c r="J17" s="11"/>
    </row>
    <row r="18" spans="1:10" ht="66" customHeight="1">
      <c r="A18" s="9" t="s">
        <v>50</v>
      </c>
      <c r="B18" s="14">
        <v>37</v>
      </c>
      <c r="C18" s="9" t="s">
        <v>51</v>
      </c>
      <c r="D18" s="9" t="s">
        <v>52</v>
      </c>
      <c r="E18" s="9" t="s">
        <v>53</v>
      </c>
      <c r="F18" s="11"/>
      <c r="G18" s="12" t="s">
        <v>26</v>
      </c>
      <c r="H18" s="11"/>
      <c r="I18" s="12" t="s">
        <v>26</v>
      </c>
      <c r="J18" s="11"/>
    </row>
    <row r="19" spans="1:10" ht="66" customHeight="1">
      <c r="A19" s="10" t="s">
        <v>54</v>
      </c>
      <c r="B19" s="13">
        <v>37</v>
      </c>
      <c r="C19" s="10" t="s">
        <v>55</v>
      </c>
      <c r="D19" s="10" t="s">
        <v>56</v>
      </c>
      <c r="E19" s="10" t="s">
        <v>57</v>
      </c>
      <c r="F19" s="11"/>
      <c r="G19" s="12" t="s">
        <v>26</v>
      </c>
      <c r="H19" s="11"/>
      <c r="I19" s="12" t="s">
        <v>26</v>
      </c>
      <c r="J19" s="11"/>
    </row>
    <row r="20" spans="1:10" ht="66" customHeight="1">
      <c r="A20" s="9" t="s">
        <v>58</v>
      </c>
      <c r="B20" s="14">
        <v>39</v>
      </c>
      <c r="C20" s="9" t="s">
        <v>59</v>
      </c>
      <c r="D20" s="9" t="s">
        <v>60</v>
      </c>
      <c r="E20" s="9" t="s">
        <v>61</v>
      </c>
      <c r="F20" s="11"/>
      <c r="G20" s="12" t="s">
        <v>26</v>
      </c>
      <c r="H20" s="11"/>
      <c r="I20" s="12" t="s">
        <v>26</v>
      </c>
      <c r="J20" s="11"/>
    </row>
  </sheetData>
  <phoneticPr fontId="8" type="noConversion"/>
  <conditionalFormatting sqref="G11:G20">
    <cfRule type="containsText" dxfId="11" priority="1" operator="containsText" text="실패"/>
    <cfRule type="containsText" dxfId="10" priority="2" operator="containsText" text="부분 오류"/>
    <cfRule type="containsText" dxfId="9" priority="3" operator="containsText" text="미평가"/>
  </conditionalFormatting>
  <conditionalFormatting sqref="I11:I20">
    <cfRule type="containsText" dxfId="8" priority="4" operator="containsText" text="실패"/>
    <cfRule type="containsText" dxfId="7" priority="5" operator="containsText" text="부분 오류"/>
    <cfRule type="containsText" dxfId="6" priority="6" operator="containsText" text="미평가"/>
  </conditionalFormatting>
  <dataValidations count="1">
    <dataValidation type="list" sqref="G11:G20 I11:I20" xr:uid="{00000000-0002-0000-0000-000000000000}">
      <formula1>"미평가,통과,부분 오류,실패"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3B53"/>
  </sheetPr>
  <dimension ref="A1:L20"/>
  <sheetViews>
    <sheetView showGridLines="0" workbookViewId="0">
      <pane ySplit="10" topLeftCell="A11" activePane="bottomLeft" state="frozen"/>
      <selection pane="bottomLeft" activeCell="C11" sqref="C11"/>
    </sheetView>
  </sheetViews>
  <sheetFormatPr defaultRowHeight="13.8"/>
  <cols>
    <col min="1" max="1" width="8" customWidth="1"/>
    <col min="2" max="2" width="49" customWidth="1"/>
    <col min="3" max="3" width="34" customWidth="1"/>
    <col min="4" max="4" width="55" customWidth="1"/>
    <col min="5" max="5" width="13" customWidth="1"/>
    <col min="6" max="7" width="17" customWidth="1"/>
    <col min="8" max="8" width="58" customWidth="1"/>
    <col min="9" max="9" width="16" customWidth="1"/>
    <col min="10" max="10" width="18" customWidth="1"/>
    <col min="11" max="11" width="16" customWidth="1"/>
    <col min="12" max="12" width="39" customWidth="1"/>
  </cols>
  <sheetData>
    <row r="1" spans="1:12" ht="2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1.95" customHeight="1">
      <c r="A2" s="2" t="s">
        <v>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5.95" customHeight="1">
      <c r="A3" s="4" t="s">
        <v>63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22.95" customHeight="1">
      <c r="A4" s="17" t="s">
        <v>64</v>
      </c>
      <c r="B4" s="18">
        <f>COUNTA(A11:A20)</f>
        <v>10</v>
      </c>
      <c r="C4" s="4"/>
      <c r="D4" s="4" t="s">
        <v>65</v>
      </c>
      <c r="E4" s="4">
        <f>SUM(COUNTIFS(I11:I20,"통과"),COUNTIFS(I11:I20,"부분 오류"),COUNTIFS(I11:I20,"실패"))</f>
        <v>0</v>
      </c>
      <c r="F4" s="4"/>
      <c r="G4" s="4" t="s">
        <v>66</v>
      </c>
      <c r="H4" s="15" t="str">
        <f>IF(E4=0,"미평가",COUNTIFS(I11:I20,"통과")/E4)</f>
        <v>미평가</v>
      </c>
      <c r="I4" s="4"/>
      <c r="J4" s="4"/>
      <c r="K4" s="4"/>
      <c r="L4" s="4"/>
    </row>
    <row r="5" spans="1:12" ht="22.95" customHeight="1">
      <c r="A5" s="4" t="s">
        <v>67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2.95" customHeight="1">
      <c r="A6" s="4" t="s">
        <v>68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2.95" customHeight="1">
      <c r="A7" s="4" t="s">
        <v>69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22.95" customHeight="1">
      <c r="A8" s="4" t="s">
        <v>70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22.95" customHeight="1">
      <c r="A9" s="4" t="s">
        <v>11</v>
      </c>
      <c r="B9" s="4"/>
      <c r="C9" s="5" t="s">
        <v>12</v>
      </c>
      <c r="D9" s="4"/>
      <c r="E9" s="4"/>
      <c r="F9" s="4"/>
      <c r="G9" s="4"/>
      <c r="H9" s="4"/>
      <c r="I9" s="4"/>
      <c r="J9" s="4"/>
      <c r="K9" s="4"/>
      <c r="L9" s="4"/>
    </row>
    <row r="10" spans="1:12" ht="37.950000000000003" customHeight="1">
      <c r="A10" s="6" t="s">
        <v>13</v>
      </c>
      <c r="B10" s="7" t="s">
        <v>71</v>
      </c>
      <c r="C10" s="7" t="s">
        <v>72</v>
      </c>
      <c r="D10" s="7" t="s">
        <v>73</v>
      </c>
      <c r="E10" s="7" t="s">
        <v>74</v>
      </c>
      <c r="F10" s="7" t="s">
        <v>75</v>
      </c>
      <c r="G10" s="7" t="s">
        <v>76</v>
      </c>
      <c r="H10" s="7" t="s">
        <v>77</v>
      </c>
      <c r="I10" s="7" t="s">
        <v>78</v>
      </c>
      <c r="J10" s="7" t="s">
        <v>79</v>
      </c>
      <c r="K10" s="7" t="s">
        <v>80</v>
      </c>
      <c r="L10" s="8" t="s">
        <v>81</v>
      </c>
    </row>
    <row r="11" spans="1:12" ht="94.05" customHeight="1">
      <c r="A11" s="10" t="s">
        <v>82</v>
      </c>
      <c r="B11" s="10" t="s">
        <v>83</v>
      </c>
      <c r="C11" s="10" t="s">
        <v>84</v>
      </c>
      <c r="D11" s="10" t="s">
        <v>85</v>
      </c>
      <c r="E11" s="10" t="s">
        <v>86</v>
      </c>
      <c r="F11" s="11"/>
      <c r="G11" s="12" t="s">
        <v>26</v>
      </c>
      <c r="H11" s="11"/>
      <c r="I11" s="12" t="s">
        <v>26</v>
      </c>
      <c r="J11" s="11" t="s">
        <v>26</v>
      </c>
      <c r="K11" s="16"/>
      <c r="L11" s="11"/>
    </row>
    <row r="12" spans="1:12" ht="94.05" customHeight="1">
      <c r="A12" s="9" t="s">
        <v>87</v>
      </c>
      <c r="B12" s="9" t="s">
        <v>88</v>
      </c>
      <c r="C12" s="9" t="s">
        <v>89</v>
      </c>
      <c r="D12" s="9" t="s">
        <v>90</v>
      </c>
      <c r="E12" s="9" t="s">
        <v>86</v>
      </c>
      <c r="F12" s="11"/>
      <c r="G12" s="12" t="s">
        <v>26</v>
      </c>
      <c r="H12" s="11"/>
      <c r="I12" s="12" t="s">
        <v>26</v>
      </c>
      <c r="J12" s="11" t="s">
        <v>26</v>
      </c>
      <c r="K12" s="16"/>
      <c r="L12" s="11"/>
    </row>
    <row r="13" spans="1:12" ht="94.05" customHeight="1">
      <c r="A13" s="10" t="s">
        <v>91</v>
      </c>
      <c r="B13" s="10" t="s">
        <v>92</v>
      </c>
      <c r="C13" s="10" t="s">
        <v>93</v>
      </c>
      <c r="D13" s="10" t="s">
        <v>94</v>
      </c>
      <c r="E13" s="10" t="s">
        <v>95</v>
      </c>
      <c r="F13" s="11"/>
      <c r="G13" s="12" t="s">
        <v>26</v>
      </c>
      <c r="H13" s="11"/>
      <c r="I13" s="12" t="s">
        <v>26</v>
      </c>
      <c r="J13" s="11" t="s">
        <v>26</v>
      </c>
      <c r="K13" s="16"/>
      <c r="L13" s="11"/>
    </row>
    <row r="14" spans="1:12" ht="94.05" customHeight="1">
      <c r="A14" s="9" t="s">
        <v>96</v>
      </c>
      <c r="B14" s="9" t="s">
        <v>97</v>
      </c>
      <c r="C14" s="9" t="s">
        <v>98</v>
      </c>
      <c r="D14" s="9" t="s">
        <v>99</v>
      </c>
      <c r="E14" s="9" t="s">
        <v>95</v>
      </c>
      <c r="F14" s="11"/>
      <c r="G14" s="12" t="s">
        <v>26</v>
      </c>
      <c r="H14" s="11"/>
      <c r="I14" s="12" t="s">
        <v>26</v>
      </c>
      <c r="J14" s="11" t="s">
        <v>26</v>
      </c>
      <c r="K14" s="16"/>
      <c r="L14" s="11"/>
    </row>
    <row r="15" spans="1:12" ht="94.05" customHeight="1">
      <c r="A15" s="10" t="s">
        <v>100</v>
      </c>
      <c r="B15" s="10" t="s">
        <v>101</v>
      </c>
      <c r="C15" s="10" t="s">
        <v>102</v>
      </c>
      <c r="D15" s="10" t="s">
        <v>103</v>
      </c>
      <c r="E15" s="10" t="s">
        <v>104</v>
      </c>
      <c r="F15" s="11"/>
      <c r="G15" s="12" t="s">
        <v>26</v>
      </c>
      <c r="H15" s="11"/>
      <c r="I15" s="12" t="s">
        <v>26</v>
      </c>
      <c r="J15" s="11" t="s">
        <v>26</v>
      </c>
      <c r="K15" s="16"/>
      <c r="L15" s="11"/>
    </row>
    <row r="16" spans="1:12" ht="94.05" customHeight="1">
      <c r="A16" s="9" t="s">
        <v>105</v>
      </c>
      <c r="B16" s="9" t="s">
        <v>106</v>
      </c>
      <c r="C16" s="9" t="s">
        <v>107</v>
      </c>
      <c r="D16" s="9" t="s">
        <v>108</v>
      </c>
      <c r="E16" s="9" t="s">
        <v>109</v>
      </c>
      <c r="F16" s="11"/>
      <c r="G16" s="12" t="s">
        <v>26</v>
      </c>
      <c r="H16" s="11"/>
      <c r="I16" s="12" t="s">
        <v>26</v>
      </c>
      <c r="J16" s="11" t="s">
        <v>26</v>
      </c>
      <c r="K16" s="16"/>
      <c r="L16" s="11"/>
    </row>
    <row r="17" spans="1:12" ht="94.05" customHeight="1">
      <c r="A17" s="10" t="s">
        <v>110</v>
      </c>
      <c r="B17" s="10" t="s">
        <v>111</v>
      </c>
      <c r="C17" s="10" t="s">
        <v>112</v>
      </c>
      <c r="D17" s="10" t="s">
        <v>113</v>
      </c>
      <c r="E17" s="10" t="s">
        <v>114</v>
      </c>
      <c r="F17" s="11"/>
      <c r="G17" s="12" t="s">
        <v>26</v>
      </c>
      <c r="H17" s="11"/>
      <c r="I17" s="12" t="s">
        <v>26</v>
      </c>
      <c r="J17" s="11" t="s">
        <v>26</v>
      </c>
      <c r="K17" s="16"/>
      <c r="L17" s="11"/>
    </row>
    <row r="18" spans="1:12" ht="94.05" customHeight="1">
      <c r="A18" s="9" t="s">
        <v>115</v>
      </c>
      <c r="B18" s="9" t="s">
        <v>116</v>
      </c>
      <c r="C18" s="9" t="s">
        <v>117</v>
      </c>
      <c r="D18" s="9" t="s">
        <v>118</v>
      </c>
      <c r="E18" s="9" t="s">
        <v>119</v>
      </c>
      <c r="F18" s="11"/>
      <c r="G18" s="12" t="s">
        <v>26</v>
      </c>
      <c r="H18" s="11"/>
      <c r="I18" s="12" t="s">
        <v>26</v>
      </c>
      <c r="J18" s="11" t="s">
        <v>26</v>
      </c>
      <c r="K18" s="16"/>
      <c r="L18" s="11"/>
    </row>
    <row r="19" spans="1:12" ht="94.05" customHeight="1">
      <c r="A19" s="10" t="s">
        <v>120</v>
      </c>
      <c r="B19" s="10" t="s">
        <v>121</v>
      </c>
      <c r="C19" s="10" t="s">
        <v>122</v>
      </c>
      <c r="D19" s="10" t="s">
        <v>123</v>
      </c>
      <c r="E19" s="10" t="s">
        <v>119</v>
      </c>
      <c r="F19" s="11"/>
      <c r="G19" s="12" t="s">
        <v>26</v>
      </c>
      <c r="H19" s="11"/>
      <c r="I19" s="12" t="s">
        <v>26</v>
      </c>
      <c r="J19" s="11" t="s">
        <v>26</v>
      </c>
      <c r="K19" s="16"/>
      <c r="L19" s="11"/>
    </row>
    <row r="20" spans="1:12" ht="94.05" customHeight="1">
      <c r="A20" s="9" t="s">
        <v>124</v>
      </c>
      <c r="B20" s="9" t="s">
        <v>125</v>
      </c>
      <c r="C20" s="9" t="s">
        <v>126</v>
      </c>
      <c r="D20" s="9" t="s">
        <v>127</v>
      </c>
      <c r="E20" s="9" t="s">
        <v>128</v>
      </c>
      <c r="F20" s="11"/>
      <c r="G20" s="12" t="s">
        <v>26</v>
      </c>
      <c r="H20" s="11"/>
      <c r="I20" s="12" t="s">
        <v>26</v>
      </c>
      <c r="J20" s="11" t="s">
        <v>26</v>
      </c>
      <c r="K20" s="16"/>
      <c r="L20" s="11"/>
    </row>
  </sheetData>
  <phoneticPr fontId="8" type="noConversion"/>
  <conditionalFormatting sqref="G11:G20">
    <cfRule type="containsText" dxfId="5" priority="1" operator="containsText" text="실패"/>
    <cfRule type="containsText" dxfId="4" priority="2" operator="containsText" text="부분 오류"/>
    <cfRule type="containsText" dxfId="3" priority="3" operator="containsText" text="미평가"/>
  </conditionalFormatting>
  <conditionalFormatting sqref="I11:I20">
    <cfRule type="containsText" dxfId="2" priority="4" operator="containsText" text="실패"/>
    <cfRule type="containsText" dxfId="1" priority="5" operator="containsText" text="부분 오류"/>
    <cfRule type="containsText" dxfId="0" priority="6" operator="containsText" text="미평가"/>
  </conditionalFormatting>
  <dataValidations count="3">
    <dataValidation type="list" sqref="G11:G20" xr:uid="{00000000-0002-0000-0100-000000000000}">
      <formula1>"미평가,충분,일부,없음"</formula1>
    </dataValidation>
    <dataValidation type="list" sqref="I11:I20" xr:uid="{00000000-0002-0000-0100-000001000000}">
      <formula1>"미평가,통과,부분 오류,실패"</formula1>
    </dataValidation>
    <dataValidation type="list" sqref="J11:J20" xr:uid="{00000000-0002-0000-0100-000002000000}">
      <formula1>"미평가,해당 없음,원본 정보 없음,분석,청킹,검색,답변,입력 길이,기타"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1_Paddle 문서 분석</vt:lpstr>
      <vt:lpstr>2_RAG 성능 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Jimin Lee</cp:lastModifiedBy>
  <dcterms:modified xsi:type="dcterms:W3CDTF">2026-10-14T08:20:24Z</dcterms:modified>
</cp:coreProperties>
</file>